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Ekta\Excal\"/>
    </mc:Choice>
  </mc:AlternateContent>
  <xr:revisionPtr revIDLastSave="0" documentId="8_{264F4E01-33E0-44ED-B1BE-A5E9B35D3BBE}" xr6:coauthVersionLast="47" xr6:coauthVersionMax="47" xr10:uidLastSave="{00000000-0000-0000-0000-000000000000}"/>
  <bookViews>
    <workbookView xWindow="-120" yWindow="-120" windowWidth="29040" windowHeight="15720" activeTab="9" xr2:uid="{08E7BF50-A40E-4F8A-BB7B-8AAE06DA33C2}"/>
  </bookViews>
  <sheets>
    <sheet name="Task1" sheetId="1" r:id="rId1"/>
    <sheet name="Task 2" sheetId="2" r:id="rId2"/>
    <sheet name="Task 3" sheetId="3" r:id="rId3"/>
    <sheet name="Task 4" sheetId="4" r:id="rId4"/>
    <sheet name="Task6" sheetId="5" r:id="rId5"/>
    <sheet name="Task 5" sheetId="6" r:id="rId6"/>
    <sheet name="Task 7" sheetId="7" r:id="rId7"/>
    <sheet name="Task 8" sheetId="8" r:id="rId8"/>
    <sheet name="Task 9" sheetId="9" r:id="rId9"/>
    <sheet name="Task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4" i="10" l="1"/>
  <c r="D5" i="10"/>
  <c r="D6" i="10"/>
  <c r="D3" i="10"/>
  <c r="C4" i="9"/>
  <c r="C5" i="9"/>
  <c r="C6" i="9"/>
  <c r="C3" i="9"/>
  <c r="C4" i="8"/>
  <c r="C5" i="8"/>
  <c r="C6" i="8"/>
  <c r="C3" i="8"/>
  <c r="D4" i="7"/>
  <c r="D5" i="7"/>
  <c r="D6" i="7"/>
  <c r="D3" i="7"/>
  <c r="D4" i="6"/>
  <c r="D5" i="6"/>
  <c r="D6" i="6"/>
  <c r="D3" i="6"/>
  <c r="D3" i="4"/>
  <c r="D4" i="5"/>
  <c r="D5" i="5"/>
  <c r="D6" i="5"/>
  <c r="D3" i="5"/>
  <c r="D4" i="4"/>
  <c r="D5" i="4"/>
  <c r="D6" i="4"/>
  <c r="C4" i="3"/>
  <c r="C5" i="3"/>
  <c r="C6" i="3"/>
  <c r="C7" i="3"/>
  <c r="C3" i="3"/>
  <c r="C4" i="2"/>
  <c r="C5" i="2"/>
  <c r="C6" i="2"/>
  <c r="C3" i="2"/>
  <c r="D3" i="1"/>
  <c r="D4" i="1"/>
  <c r="D5" i="1"/>
  <c r="D6" i="1"/>
  <c r="D7" i="1"/>
</calcChain>
</file>

<file path=xl/sharedStrings.xml><?xml version="1.0" encoding="utf-8"?>
<sst xmlns="http://schemas.openxmlformats.org/spreadsheetml/2006/main" count="102" uniqueCount="65">
  <si>
    <t>Task 1: Pass / Fail using IF</t>
  </si>
  <si>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</si>
  <si>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</si>
  <si>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</si>
  <si>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</si>
  <si>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</si>
  <si>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</si>
  <si>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</si>
  <si>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</si>
  <si>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</si>
  <si>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>Task 2: Salary Bonus Check (IF)</t>
  </si>
  <si>
    <t>Employee Name</t>
  </si>
  <si>
    <t>Salary</t>
  </si>
  <si>
    <t>Bonus Status</t>
  </si>
  <si>
    <t>Rohit</t>
  </si>
  <si>
    <t>Simran</t>
  </si>
  <si>
    <t>Vijay</t>
  </si>
  <si>
    <t>Nisha</t>
  </si>
  <si>
    <t>Task 3: Grade Calculation (Nested IF)</t>
  </si>
  <si>
    <t>Grade</t>
  </si>
  <si>
    <t>Task 4: Job Eligibility (AND)</t>
  </si>
  <si>
    <t>Name</t>
  </si>
  <si>
    <t>Age</t>
  </si>
  <si>
    <t>Experience (Years)</t>
  </si>
  <si>
    <t>Eligible</t>
  </si>
  <si>
    <t>Task 6: Discount Logic (OR)</t>
  </si>
  <si>
    <t>Customer Name</t>
  </si>
  <si>
    <t>Purchase Amount</t>
  </si>
  <si>
    <t>Membership</t>
  </si>
  <si>
    <t>Discount</t>
  </si>
  <si>
    <t>Aakash</t>
  </si>
  <si>
    <t>No</t>
  </si>
  <si>
    <t>Bhavna</t>
  </si>
  <si>
    <t>Yes</t>
  </si>
  <si>
    <t>Divya</t>
  </si>
  <si>
    <t>Purchase ≥ 10000 OR Membership = Yes</t>
  </si>
  <si>
    <t>Task 5: Exam Eligibility (AND)</t>
  </si>
  <si>
    <t>Attendance %</t>
  </si>
  <si>
    <t>Assignment Submitted</t>
  </si>
  <si>
    <t>Attendance ≥ 75 AND Assignment = Yes</t>
  </si>
  <si>
    <t>Loan Approval (OR)</t>
  </si>
  <si>
    <t>Applicant</t>
  </si>
  <si>
    <t>CIBIL Score</t>
  </si>
  <si>
    <t>Loan Status</t>
  </si>
  <si>
    <t>Salary ≥ 40000 OR CIBIL ≥ 700</t>
  </si>
  <si>
    <t>Task 8: Attendance Status (NOT)</t>
  </si>
  <si>
    <t>Present</t>
  </si>
  <si>
    <t>Status</t>
  </si>
  <si>
    <t>If NOT Present → Absent</t>
  </si>
  <si>
    <t>Else → Present</t>
  </si>
  <si>
    <t>Task 9: Safe Division (IFERROR)</t>
  </si>
  <si>
    <t>Number 1</t>
  </si>
  <si>
    <t>Number 2</t>
  </si>
  <si>
    <t>Divide Number 1 by Number 2</t>
  </si>
  <si>
    <t>If error → show "Invalid"</t>
  </si>
  <si>
    <t>Performance Evaluation (Combined Logic)</t>
  </si>
  <si>
    <t>Targets Achieved</t>
  </si>
  <si>
    <t>Performance</t>
  </si>
  <si>
    <t>Raj</t>
  </si>
  <si>
    <t>Sunita</t>
  </si>
  <si>
    <t>Manoj</t>
  </si>
  <si>
    <t>Kavita</t>
  </si>
  <si>
    <t>Attendance ≥ 90 AND Targets ≥ 40 → Excellent</t>
  </si>
  <si>
    <t>Attendance ≥ 80 → Good</t>
  </si>
  <si>
    <t>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</si>
</sst>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/>
      <bottom style="medium">
        <color rgb="FFD1D9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 indent="1"/>
    </xf>
    <xf numFmtId="0" fontId="0" fillId="3" borderId="1" xfId="0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D0A4A-888F-4836-9C45-EC073BA3AF7D}">
  <dimension ref="A1:D7"/>
  <sheetViews>
    <sheetView workbookViewId="0">
      <selection activeCell="D4" sqref="D4"/>
    </sheetView>
  </sheetViews>
  <sheetFormatPr defaultRowHeight="15" x14ac:dyDescent="0.25"/>
  <cols>
    <col min="4" max="4" width="25.85546875" customWidth="1"/>
  </cols>
  <sheetData>
    <row r="1" spans="1:4" ht="47.25" customHeight="1" thickBot="1" x14ac:dyDescent="0.3">
      <c r="A1" s="4" t="s">
        <v>0</v>
      </c>
      <c r="B1" s="4"/>
      <c r="C1" s="4"/>
      <c r="D1" s="4"/>
    </row>
    <row r="2" spans="1:4" ht="30.75" thickBot="1" x14ac:dyDescent="0.3">
      <c r="A2" s="1" t="s">
        <v>1</v>
      </c>
      <c r="B2" s="1" t="s">
        <v>2</v>
      </c>
      <c r="C2" s="1" t="s">
        <v>3</v>
      </c>
      <c r="D2" s="1" t="s">
        <v>4</v>
      </c>
    </row>
    <row r="3" spans="1:4" ht="15.75" thickBot="1" x14ac:dyDescent="0.3">
      <c r="A3" s="2">
        <v>1</v>
      </c>
      <c r="B3" s="2" t="s">
        <v>5</v>
      </c>
      <c r="C3" s="2">
        <v>78</v>
      </c>
      <c r="D3" s="2" t="str">
        <f>IF(C3&gt;=40,"Pass","Fail")</f>
        <v>Pass</v>
      </c>
    </row>
    <row r="4" spans="1:4" ht="15.75" thickBot="1" x14ac:dyDescent="0.3">
      <c r="A4" s="3">
        <v>2</v>
      </c>
      <c r="B4" s="3" t="s">
        <v>6</v>
      </c>
      <c r="C4" s="3">
        <v>35</v>
      </c>
      <c r="D4" s="2" t="str">
        <f t="shared" ref="D4:D7" si="0">IF(C4&gt;=40,"Pass","Fail")</f>
        <v>Fail</v>
      </c>
    </row>
    <row r="5" spans="1:4" ht="15.75" thickBot="1" x14ac:dyDescent="0.3">
      <c r="A5" s="2">
        <v>3</v>
      </c>
      <c r="B5" s="2" t="s">
        <v>7</v>
      </c>
      <c r="C5" s="2">
        <v>62</v>
      </c>
      <c r="D5" s="2" t="str">
        <f t="shared" si="0"/>
        <v>Pass</v>
      </c>
    </row>
    <row r="6" spans="1:4" ht="15.75" thickBot="1" x14ac:dyDescent="0.3">
      <c r="A6" s="3">
        <v>4</v>
      </c>
      <c r="B6" s="3" t="s">
        <v>8</v>
      </c>
      <c r="C6" s="3">
        <v>40</v>
      </c>
      <c r="D6" s="2" t="str">
        <f t="shared" si="0"/>
        <v>Pass</v>
      </c>
    </row>
    <row r="7" spans="1:4" ht="15.75" thickBot="1" x14ac:dyDescent="0.3">
      <c r="A7" s="2">
        <v>5</v>
      </c>
      <c r="B7" s="2" t="s">
        <v>9</v>
      </c>
      <c r="C7" s="2">
        <v>28</v>
      </c>
      <c r="D7" s="2" t="str">
        <f t="shared" si="0"/>
        <v>Fail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FA436-33C3-4DCB-92A0-10DD8275C483}">
  <dimension ref="A1:C6"/>
  <sheetViews>
    <sheetView workbookViewId="0">
      <selection activeCell="C4" sqref="C4"/>
    </sheetView>
  </sheetViews>
  <sheetFormatPr defaultRowHeight="15" x14ac:dyDescent="0.25"/>
  <cols>
    <col min="1" max="1" width="16.7109375" customWidth="1"/>
    <col min="3" max="3" width="25.140625" customWidth="1"/>
  </cols>
  <sheetData>
    <row r="1" spans="1:3" ht="50.25" customHeight="1" thickBot="1" x14ac:dyDescent="0.3">
      <c r="A1" s="4" t="s">
        <v>10</v>
      </c>
      <c r="B1" s="4"/>
      <c r="C1" s="4"/>
    </row>
    <row r="2" spans="1:3" ht="30.75" thickBot="1" x14ac:dyDescent="0.3">
      <c r="A2" s="1" t="s">
        <v>11</v>
      </c>
      <c r="B2" s="1" t="s">
        <v>12</v>
      </c>
      <c r="C2" s="1" t="s">
        <v>13</v>
      </c>
    </row>
    <row r="3" spans="1:3" ht="15.75" thickBot="1" x14ac:dyDescent="0.3">
      <c r="A3" s="2" t="s">
        <v>14</v>
      </c>
      <c r="B3" s="2">
        <v>28000</v>
      </c>
      <c r="C3" s="2" t="str">
        <f>IF(B3&gt;=40000,"Bonus","No Bonus")</f>
        <v>No Bonus</v>
      </c>
    </row>
    <row r="4" spans="1:3" ht="15.75" thickBot="1" x14ac:dyDescent="0.3">
      <c r="A4" s="3" t="s">
        <v>15</v>
      </c>
      <c r="B4" s="3">
        <v>45000</v>
      </c>
      <c r="C4" s="2" t="str">
        <f t="shared" ref="C4:C6" si="0">IF(B4&gt;=40000,"Bonus","No Bonus")</f>
        <v>Bonus</v>
      </c>
    </row>
    <row r="5" spans="1:3" ht="15.75" thickBot="1" x14ac:dyDescent="0.3">
      <c r="A5" s="2" t="s">
        <v>16</v>
      </c>
      <c r="B5" s="2">
        <v>52000</v>
      </c>
      <c r="C5" s="2" t="str">
        <f t="shared" si="0"/>
        <v>Bonus</v>
      </c>
    </row>
    <row r="6" spans="1:3" ht="15.75" thickBot="1" x14ac:dyDescent="0.3">
      <c r="A6" s="3" t="s">
        <v>17</v>
      </c>
      <c r="B6" s="3">
        <v>30000</v>
      </c>
      <c r="C6" s="2" t="str">
        <f t="shared" si="0"/>
        <v>No Bonus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3B1CF-85C0-4A9A-81FA-808EB0F5D902}">
  <dimension ref="A1:C7"/>
  <sheetViews>
    <sheetView workbookViewId="0">
      <selection activeCell="C3" sqref="C3"/>
    </sheetView>
  </sheetViews>
  <sheetFormatPr defaultRowHeight="15" x14ac:dyDescent="0.25"/>
  <cols>
    <col min="3" max="3" width="36.85546875" customWidth="1"/>
  </cols>
  <sheetData>
    <row r="1" spans="1:3" ht="77.25" customHeight="1" thickBot="1" x14ac:dyDescent="0.3">
      <c r="A1" s="5" t="s">
        <v>18</v>
      </c>
      <c r="B1" s="5"/>
      <c r="C1" s="5"/>
    </row>
    <row r="2" spans="1:3" ht="30.75" thickBot="1" x14ac:dyDescent="0.3">
      <c r="A2" s="1" t="s">
        <v>2</v>
      </c>
      <c r="B2" s="1" t="s">
        <v>3</v>
      </c>
      <c r="C2" s="1" t="s">
        <v>19</v>
      </c>
    </row>
    <row r="3" spans="1:3" ht="15.75" thickBot="1" x14ac:dyDescent="0.3">
      <c r="A3" s="2" t="s">
        <v>5</v>
      </c>
      <c r="B3" s="2">
        <v>82</v>
      </c>
      <c r="C3" s="2" t="str">
        <f>IF(B3&gt;=75,"A",IF(B3&gt;=60,"B",IF(B3&gt;=40,"C","Fail")))</f>
        <v>A</v>
      </c>
    </row>
    <row r="4" spans="1:3" ht="15.75" thickBot="1" x14ac:dyDescent="0.3">
      <c r="A4" s="3" t="s">
        <v>6</v>
      </c>
      <c r="B4" s="3">
        <v>67</v>
      </c>
      <c r="C4" s="2" t="str">
        <f t="shared" ref="C4:C7" si="0">IF(B4&gt;=75,"A",IF(B4&gt;=60,"B",IF(B4&gt;=40,"C","Fail")))</f>
        <v>B</v>
      </c>
    </row>
    <row r="5" spans="1:3" ht="15.75" thickBot="1" x14ac:dyDescent="0.3">
      <c r="A5" s="2" t="s">
        <v>7</v>
      </c>
      <c r="B5" s="2">
        <v>45</v>
      </c>
      <c r="C5" s="2" t="str">
        <f t="shared" si="0"/>
        <v>C</v>
      </c>
    </row>
    <row r="6" spans="1:3" ht="15.75" thickBot="1" x14ac:dyDescent="0.3">
      <c r="A6" s="3" t="s">
        <v>8</v>
      </c>
      <c r="B6" s="3">
        <v>33</v>
      </c>
      <c r="C6" s="2" t="str">
        <f t="shared" si="0"/>
        <v>Fail</v>
      </c>
    </row>
    <row r="7" spans="1:3" ht="15.75" thickBot="1" x14ac:dyDescent="0.3">
      <c r="A7" s="2" t="s">
        <v>9</v>
      </c>
      <c r="B7" s="2">
        <v>90</v>
      </c>
      <c r="C7" s="2" t="str">
        <f t="shared" si="0"/>
        <v>A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A866E-068F-43DD-804F-1277320F41A4}">
  <dimension ref="A1:D6"/>
  <sheetViews>
    <sheetView workbookViewId="0">
      <selection activeCell="D3" sqref="D3"/>
    </sheetView>
  </sheetViews>
  <sheetFormatPr defaultRowHeight="15" x14ac:dyDescent="0.25"/>
  <cols>
    <col min="4" max="4" width="18" customWidth="1"/>
  </cols>
  <sheetData>
    <row r="1" spans="1:4" ht="70.5" customHeight="1" thickBot="1" x14ac:dyDescent="0.3">
      <c r="A1" s="5" t="s">
        <v>20</v>
      </c>
      <c r="B1" s="5"/>
      <c r="C1" s="5"/>
      <c r="D1" s="5"/>
    </row>
    <row r="2" spans="1:4" ht="45.75" thickBot="1" x14ac:dyDescent="0.3">
      <c r="A2" s="1" t="s">
        <v>21</v>
      </c>
      <c r="B2" s="1" t="s">
        <v>22</v>
      </c>
      <c r="C2" s="1" t="s">
        <v>23</v>
      </c>
      <c r="D2" s="1" t="s">
        <v>24</v>
      </c>
    </row>
    <row r="3" spans="1:4" ht="15.75" thickBot="1" x14ac:dyDescent="0.3">
      <c r="A3" s="2" t="s">
        <v>14</v>
      </c>
      <c r="B3" s="2">
        <v>25</v>
      </c>
      <c r="C3" s="2">
        <v>2</v>
      </c>
      <c r="D3" s="2" t="str">
        <f>IF(AND(B3&gt;=21,C3&gt;=1),"Eligible","No Eligible")</f>
        <v>Eligible</v>
      </c>
    </row>
    <row r="4" spans="1:4" ht="15.75" thickBot="1" x14ac:dyDescent="0.3">
      <c r="A4" s="3" t="s">
        <v>15</v>
      </c>
      <c r="B4" s="3">
        <v>20</v>
      </c>
      <c r="C4" s="3">
        <v>1</v>
      </c>
      <c r="D4" s="2" t="str">
        <f t="shared" ref="D4:D6" si="0">IF(AND(B4&gt;=21,C4&gt;=1),"Eligible","No Eligible")</f>
        <v>No Eligible</v>
      </c>
    </row>
    <row r="5" spans="1:4" ht="15.75" thickBot="1" x14ac:dyDescent="0.3">
      <c r="A5" s="2" t="s">
        <v>16</v>
      </c>
      <c r="B5" s="2">
        <v>30</v>
      </c>
      <c r="C5" s="2">
        <v>5</v>
      </c>
      <c r="D5" s="2" t="str">
        <f t="shared" si="0"/>
        <v>Eligible</v>
      </c>
    </row>
    <row r="6" spans="1:4" ht="15.75" thickBot="1" x14ac:dyDescent="0.3">
      <c r="A6" s="3" t="s">
        <v>17</v>
      </c>
      <c r="B6" s="3">
        <v>22</v>
      </c>
      <c r="C6" s="3">
        <v>0</v>
      </c>
      <c r="D6" s="2" t="str">
        <f t="shared" si="0"/>
        <v>No Eligible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A0C1-BB03-46CF-B6C2-D6E77A0464F9}">
  <dimension ref="A1:D26"/>
  <sheetViews>
    <sheetView workbookViewId="0">
      <selection activeCell="D4" sqref="D4"/>
    </sheetView>
  </sheetViews>
  <sheetFormatPr defaultRowHeight="15" x14ac:dyDescent="0.25"/>
  <cols>
    <col min="1" max="1" width="18.5703125" customWidth="1"/>
    <col min="2" max="2" width="14.28515625" customWidth="1"/>
    <col min="3" max="3" width="14.5703125" customWidth="1"/>
    <col min="4" max="4" width="24.7109375" customWidth="1"/>
  </cols>
  <sheetData>
    <row r="1" spans="1:4" ht="53.25" customHeight="1" thickBot="1" x14ac:dyDescent="0.3">
      <c r="A1" s="5" t="s">
        <v>25</v>
      </c>
      <c r="B1" s="5"/>
      <c r="C1" s="5"/>
      <c r="D1" s="5"/>
    </row>
    <row r="2" spans="1:4" ht="45.75" thickBot="1" x14ac:dyDescent="0.3">
      <c r="A2" s="1" t="s">
        <v>26</v>
      </c>
      <c r="B2" s="1" t="s">
        <v>27</v>
      </c>
      <c r="C2" s="1" t="s">
        <v>28</v>
      </c>
      <c r="D2" s="1" t="s">
        <v>29</v>
      </c>
    </row>
    <row r="3" spans="1:4" ht="15.75" thickBot="1" x14ac:dyDescent="0.3">
      <c r="A3" s="2" t="s">
        <v>30</v>
      </c>
      <c r="B3" s="2">
        <v>9000</v>
      </c>
      <c r="C3" s="2" t="s">
        <v>31</v>
      </c>
      <c r="D3" s="2" t="str">
        <f>IF(OR(B3&gt;=10000,C3="yes"),"Discount","Not Discount")</f>
        <v>Not Discount</v>
      </c>
    </row>
    <row r="4" spans="1:4" ht="15.75" thickBot="1" x14ac:dyDescent="0.3">
      <c r="A4" s="3" t="s">
        <v>32</v>
      </c>
      <c r="B4" s="3">
        <v>12000</v>
      </c>
      <c r="C4" s="3" t="s">
        <v>31</v>
      </c>
      <c r="D4" s="2" t="str">
        <f t="shared" ref="D4:D6" si="0">IF(OR(B4&gt;=10000,C4="yes"),"Discount","Not Discount")</f>
        <v>Discount</v>
      </c>
    </row>
    <row r="5" spans="1:4" ht="15.75" thickBot="1" x14ac:dyDescent="0.3">
      <c r="A5" s="2" t="s">
        <v>7</v>
      </c>
      <c r="B5" s="2">
        <v>4000</v>
      </c>
      <c r="C5" s="2" t="s">
        <v>33</v>
      </c>
      <c r="D5" s="2" t="str">
        <f t="shared" si="0"/>
        <v>Discount</v>
      </c>
    </row>
    <row r="6" spans="1:4" ht="15.75" thickBot="1" x14ac:dyDescent="0.3">
      <c r="A6" s="3" t="s">
        <v>34</v>
      </c>
      <c r="B6" s="3">
        <v>3000</v>
      </c>
      <c r="C6" s="3" t="s">
        <v>31</v>
      </c>
      <c r="D6" s="2" t="str">
        <f t="shared" si="0"/>
        <v>Not Discount</v>
      </c>
    </row>
    <row r="26" spans="4:4" ht="51.75" x14ac:dyDescent="0.25">
      <c r="D26" s="6" t="s">
        <v>35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5A0D4-4A72-4F8E-9753-BADC24E06040}">
  <dimension ref="A1:D15"/>
  <sheetViews>
    <sheetView workbookViewId="0">
      <selection activeCell="D3" sqref="D3"/>
    </sheetView>
  </sheetViews>
  <sheetFormatPr defaultRowHeight="15" x14ac:dyDescent="0.25"/>
  <cols>
    <col min="2" max="2" width="15.5703125" customWidth="1"/>
    <col min="3" max="3" width="12.5703125" customWidth="1"/>
    <col min="4" max="4" width="22" customWidth="1"/>
  </cols>
  <sheetData>
    <row r="1" spans="1:4" ht="64.5" customHeight="1" thickBot="1" x14ac:dyDescent="0.3">
      <c r="A1" s="5" t="s">
        <v>36</v>
      </c>
      <c r="B1" s="5"/>
      <c r="C1" s="5"/>
      <c r="D1" s="5"/>
    </row>
    <row r="2" spans="1:4" ht="60.75" thickBot="1" x14ac:dyDescent="0.3">
      <c r="A2" s="1" t="s">
        <v>2</v>
      </c>
      <c r="B2" s="1" t="s">
        <v>37</v>
      </c>
      <c r="C2" s="1" t="s">
        <v>38</v>
      </c>
      <c r="D2" s="1" t="s">
        <v>24</v>
      </c>
    </row>
    <row r="3" spans="1:4" ht="15.75" thickBot="1" x14ac:dyDescent="0.3">
      <c r="A3" s="2" t="s">
        <v>5</v>
      </c>
      <c r="B3" s="2">
        <v>85</v>
      </c>
      <c r="C3" s="2" t="s">
        <v>33</v>
      </c>
      <c r="D3" s="2" t="str">
        <f>IF(AND(B3&gt;=75,C3="Yes"),"Eligible","Not Eligible")</f>
        <v>Eligible</v>
      </c>
    </row>
    <row r="4" spans="1:4" ht="15.75" thickBot="1" x14ac:dyDescent="0.3">
      <c r="A4" s="3" t="s">
        <v>6</v>
      </c>
      <c r="B4" s="3">
        <v>72</v>
      </c>
      <c r="C4" s="3" t="s">
        <v>33</v>
      </c>
      <c r="D4" s="2" t="str">
        <f t="shared" ref="D4:D6" si="0">IF(AND(B4&gt;=75,C4="Yes"),"Eligible","Not Eligible")</f>
        <v>Not Eligible</v>
      </c>
    </row>
    <row r="5" spans="1:4" ht="15.75" thickBot="1" x14ac:dyDescent="0.3">
      <c r="A5" s="2" t="s">
        <v>7</v>
      </c>
      <c r="B5" s="2">
        <v>90</v>
      </c>
      <c r="C5" s="2" t="s">
        <v>31</v>
      </c>
      <c r="D5" s="2" t="str">
        <f t="shared" si="0"/>
        <v>Not Eligible</v>
      </c>
    </row>
    <row r="6" spans="1:4" ht="15.75" thickBot="1" x14ac:dyDescent="0.3">
      <c r="A6" s="3" t="s">
        <v>8</v>
      </c>
      <c r="B6" s="3">
        <v>80</v>
      </c>
      <c r="C6" s="3" t="s">
        <v>33</v>
      </c>
      <c r="D6" s="2" t="str">
        <f t="shared" si="0"/>
        <v>Eligible</v>
      </c>
    </row>
    <row r="15" spans="1:4" ht="51.75" x14ac:dyDescent="0.25">
      <c r="D15" s="6" t="s">
        <v>39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22F40-0707-4F04-B46B-C2C973F614D5}">
  <dimension ref="A1:D23"/>
  <sheetViews>
    <sheetView workbookViewId="0">
      <selection activeCell="D23" sqref="D23"/>
    </sheetView>
  </sheetViews>
  <sheetFormatPr defaultRowHeight="15" x14ac:dyDescent="0.25"/>
  <cols>
    <col min="1" max="1" width="10.7109375" bestFit="1" customWidth="1"/>
    <col min="2" max="2" width="7.28515625" bestFit="1" customWidth="1"/>
    <col min="3" max="3" width="6.5703125" bestFit="1" customWidth="1"/>
    <col min="4" max="4" width="16.28515625" customWidth="1"/>
  </cols>
  <sheetData>
    <row r="1" spans="1:4" ht="51.75" customHeight="1" thickBot="1" x14ac:dyDescent="0.3">
      <c r="A1" s="5" t="s">
        <v>40</v>
      </c>
      <c r="B1" s="5"/>
      <c r="C1" s="5"/>
      <c r="D1" s="5"/>
    </row>
    <row r="2" spans="1:4" ht="30.75" thickBot="1" x14ac:dyDescent="0.3">
      <c r="A2" s="1" t="s">
        <v>41</v>
      </c>
      <c r="B2" s="1" t="s">
        <v>12</v>
      </c>
      <c r="C2" s="1" t="s">
        <v>42</v>
      </c>
      <c r="D2" s="1" t="s">
        <v>43</v>
      </c>
    </row>
    <row r="3" spans="1:4" ht="25.5" customHeight="1" thickBot="1" x14ac:dyDescent="0.3">
      <c r="A3" s="2" t="s">
        <v>14</v>
      </c>
      <c r="B3" s="2">
        <v>35000</v>
      </c>
      <c r="C3" s="2">
        <v>720</v>
      </c>
      <c r="D3" s="2" t="str">
        <f>IF(OR(B3&gt;=40000,C3&gt;=700),"Approval","Not Approval")</f>
        <v>Approval</v>
      </c>
    </row>
    <row r="4" spans="1:4" ht="37.5" customHeight="1" thickBot="1" x14ac:dyDescent="0.3">
      <c r="A4" s="3" t="s">
        <v>15</v>
      </c>
      <c r="B4" s="3">
        <v>25000</v>
      </c>
      <c r="C4" s="3">
        <v>680</v>
      </c>
      <c r="D4" s="2" t="str">
        <f t="shared" ref="D4:D6" si="0">IF(OR(B4&gt;=40000,C4&gt;=700),"Approval","Not Approval")</f>
        <v>Not Approval</v>
      </c>
    </row>
    <row r="5" spans="1:4" ht="42" customHeight="1" thickBot="1" x14ac:dyDescent="0.3">
      <c r="A5" s="2" t="s">
        <v>16</v>
      </c>
      <c r="B5" s="2">
        <v>50000</v>
      </c>
      <c r="C5" s="2">
        <v>650</v>
      </c>
      <c r="D5" s="2" t="str">
        <f t="shared" si="0"/>
        <v>Approval</v>
      </c>
    </row>
    <row r="6" spans="1:4" ht="50.25" customHeight="1" thickBot="1" x14ac:dyDescent="0.3">
      <c r="A6" s="3" t="s">
        <v>17</v>
      </c>
      <c r="B6" s="3">
        <v>20000</v>
      </c>
      <c r="C6" s="3">
        <v>600</v>
      </c>
      <c r="D6" s="2" t="str">
        <f t="shared" si="0"/>
        <v>Not Approval</v>
      </c>
    </row>
    <row r="23" spans="4:4" ht="51.75" x14ac:dyDescent="0.25">
      <c r="D23" s="6" t="s">
        <v>44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54D1-2A70-4A91-8304-1012F69B474E}">
  <dimension ref="A1:E26"/>
  <sheetViews>
    <sheetView workbookViewId="0">
      <selection activeCell="C3" sqref="C3"/>
    </sheetView>
  </sheetViews>
  <sheetFormatPr defaultRowHeight="15" x14ac:dyDescent="0.25"/>
  <cols>
    <col min="3" max="3" width="25.140625" customWidth="1"/>
    <col min="5" max="5" width="37.5703125" customWidth="1"/>
  </cols>
  <sheetData>
    <row r="1" spans="1:3" ht="84.75" customHeight="1" thickBot="1" x14ac:dyDescent="0.3">
      <c r="A1" s="5" t="s">
        <v>45</v>
      </c>
      <c r="B1" s="5"/>
      <c r="C1" s="5"/>
    </row>
    <row r="2" spans="1:3" ht="15.75" thickBot="1" x14ac:dyDescent="0.3">
      <c r="A2" s="1" t="s">
        <v>21</v>
      </c>
      <c r="B2" s="1" t="s">
        <v>46</v>
      </c>
      <c r="C2" s="1" t="s">
        <v>47</v>
      </c>
    </row>
    <row r="3" spans="1:3" ht="15.75" thickBot="1" x14ac:dyDescent="0.3">
      <c r="A3" s="2" t="s">
        <v>5</v>
      </c>
      <c r="B3" s="2" t="b">
        <v>1</v>
      </c>
      <c r="C3" s="2" t="str">
        <f>IF(NOT(B3),"Absent","Present")</f>
        <v>Present</v>
      </c>
    </row>
    <row r="4" spans="1:3" ht="15.75" thickBot="1" x14ac:dyDescent="0.3">
      <c r="A4" s="3" t="s">
        <v>6</v>
      </c>
      <c r="B4" s="3" t="b">
        <v>0</v>
      </c>
      <c r="C4" s="2" t="str">
        <f t="shared" ref="C4:C6" si="0">IF(NOT(B4),"Absent","Present")</f>
        <v>Absent</v>
      </c>
    </row>
    <row r="5" spans="1:3" ht="15.75" thickBot="1" x14ac:dyDescent="0.3">
      <c r="A5" s="2" t="s">
        <v>7</v>
      </c>
      <c r="B5" s="2" t="b">
        <v>1</v>
      </c>
      <c r="C5" s="2" t="str">
        <f t="shared" si="0"/>
        <v>Present</v>
      </c>
    </row>
    <row r="6" spans="1:3" ht="15.75" thickBot="1" x14ac:dyDescent="0.3">
      <c r="A6" s="3" t="s">
        <v>8</v>
      </c>
      <c r="B6" s="3" t="b">
        <v>0</v>
      </c>
      <c r="C6" s="2" t="str">
        <f t="shared" si="0"/>
        <v>Absent</v>
      </c>
    </row>
    <row r="25" spans="5:5" ht="19.5" customHeight="1" x14ac:dyDescent="0.25">
      <c r="E25" s="6" t="s">
        <v>48</v>
      </c>
    </row>
    <row r="26" spans="5:5" ht="21" customHeight="1" x14ac:dyDescent="0.25">
      <c r="E26" s="6" t="s">
        <v>49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C0C8-F7A5-486C-9866-62E7AD485AC9}">
  <dimension ref="A1:H22"/>
  <sheetViews>
    <sheetView workbookViewId="0">
      <selection activeCell="B21" sqref="B21"/>
    </sheetView>
  </sheetViews>
  <sheetFormatPr defaultRowHeight="15" x14ac:dyDescent="0.25"/>
  <cols>
    <col min="3" max="3" width="32.140625" customWidth="1"/>
    <col min="8" max="8" width="24.7109375" customWidth="1"/>
  </cols>
  <sheetData>
    <row r="1" spans="1:3" ht="27" customHeight="1" thickBot="1" x14ac:dyDescent="0.3">
      <c r="A1" s="5" t="s">
        <v>50</v>
      </c>
      <c r="B1" s="5"/>
      <c r="C1" s="5"/>
    </row>
    <row r="2" spans="1:3" ht="30.75" thickBot="1" x14ac:dyDescent="0.3">
      <c r="A2" s="1" t="s">
        <v>51</v>
      </c>
      <c r="B2" s="1" t="s">
        <v>52</v>
      </c>
      <c r="C2" s="1" t="s">
        <v>4</v>
      </c>
    </row>
    <row r="3" spans="1:3" ht="15.75" thickBot="1" x14ac:dyDescent="0.3">
      <c r="A3" s="2">
        <v>10</v>
      </c>
      <c r="B3" s="2">
        <v>2</v>
      </c>
      <c r="C3" s="2">
        <f>IFERROR(A3/B3,"Invalid")</f>
        <v>5</v>
      </c>
    </row>
    <row r="4" spans="1:3" ht="15.75" thickBot="1" x14ac:dyDescent="0.3">
      <c r="A4" s="3">
        <v>15</v>
      </c>
      <c r="B4" s="3">
        <v>0</v>
      </c>
      <c r="C4" s="2" t="str">
        <f t="shared" ref="C4:C6" si="0">IFERROR(A4/B4,"Invalid")</f>
        <v>Invalid</v>
      </c>
    </row>
    <row r="5" spans="1:3" ht="15.75" thickBot="1" x14ac:dyDescent="0.3">
      <c r="A5" s="2">
        <v>20</v>
      </c>
      <c r="B5" s="2">
        <v>5</v>
      </c>
      <c r="C5" s="2">
        <f t="shared" si="0"/>
        <v>4</v>
      </c>
    </row>
    <row r="6" spans="1:3" ht="15.75" thickBot="1" x14ac:dyDescent="0.3">
      <c r="A6" s="3">
        <v>8</v>
      </c>
      <c r="B6" s="3">
        <v>0</v>
      </c>
      <c r="C6" s="2" t="str">
        <f t="shared" si="0"/>
        <v>Invalid</v>
      </c>
    </row>
    <row r="21" spans="8:8" ht="41.25" customHeight="1" x14ac:dyDescent="0.25">
      <c r="H21" s="6" t="s">
        <v>53</v>
      </c>
    </row>
    <row r="22" spans="8:8" ht="45" customHeight="1" x14ac:dyDescent="0.25">
      <c r="H22" s="6" t="s">
        <v>54</v>
      </c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F563E-BF3D-4A54-8B7B-50032B265E6F}">
  <dimension ref="A1:N6"/>
  <sheetViews>
    <sheetView tabSelected="1" workbookViewId="0">
      <selection activeCell="N7" sqref="N7"/>
    </sheetView>
  </sheetViews>
  <sheetFormatPr defaultRowHeight="15" x14ac:dyDescent="0.25"/>
  <cols>
    <col min="4" max="4" width="16.7109375" customWidth="1"/>
    <col min="14" max="14" width="52.140625" customWidth="1"/>
  </cols>
  <sheetData>
    <row r="1" spans="1:14" ht="45" customHeight="1" thickBot="1" x14ac:dyDescent="0.3">
      <c r="A1" s="5" t="s">
        <v>55</v>
      </c>
      <c r="B1" s="5"/>
      <c r="C1" s="5"/>
      <c r="D1" s="5"/>
    </row>
    <row r="2" spans="1:14" ht="45.75" thickBot="1" x14ac:dyDescent="0.3">
      <c r="A2" s="1" t="s">
        <v>11</v>
      </c>
      <c r="B2" s="1" t="s">
        <v>56</v>
      </c>
      <c r="C2" s="1" t="s">
        <v>37</v>
      </c>
      <c r="D2" s="1" t="s">
        <v>57</v>
      </c>
      <c r="N2" s="6" t="s">
        <v>62</v>
      </c>
    </row>
    <row r="3" spans="1:14" ht="18" thickBot="1" x14ac:dyDescent="0.3">
      <c r="A3" s="2" t="s">
        <v>58</v>
      </c>
      <c r="B3" s="2">
        <v>45</v>
      </c>
      <c r="C3" s="2">
        <v>92</v>
      </c>
      <c r="D3" s="2" t="str">
        <f>IF(AND(C3&gt;=90,B3&gt;=40),"Excellent",IF(C3&gt;=80,"Good","Need Improvment"))</f>
        <v>Excellent</v>
      </c>
      <c r="N3" s="6" t="s">
        <v>63</v>
      </c>
    </row>
    <row r="4" spans="1:14" ht="18" thickBot="1" x14ac:dyDescent="0.3">
      <c r="A4" s="3" t="s">
        <v>59</v>
      </c>
      <c r="B4" s="3">
        <v>38</v>
      </c>
      <c r="C4" s="3">
        <v>85</v>
      </c>
      <c r="D4" s="2" t="str">
        <f t="shared" ref="D4:D6" si="0">IF(AND(C4&gt;=90,B4&gt;=40),"Excellent",IF(C4&gt;=80,"Good","Need Improvment"))</f>
        <v>Good</v>
      </c>
      <c r="N4" s="6" t="s">
        <v>64</v>
      </c>
    </row>
    <row r="5" spans="1:14" ht="24" customHeight="1" thickBot="1" x14ac:dyDescent="0.3">
      <c r="A5" s="2" t="s">
        <v>60</v>
      </c>
      <c r="B5" s="2">
        <v>50</v>
      </c>
      <c r="C5" s="2">
        <v>95</v>
      </c>
      <c r="D5" s="2" t="str">
        <f t="shared" si="0"/>
        <v>Excellent</v>
      </c>
    </row>
    <row r="6" spans="1:14" ht="27.75" customHeight="1" thickBot="1" x14ac:dyDescent="0.3">
      <c r="A6" s="3" t="s">
        <v>61</v>
      </c>
      <c r="B6" s="3">
        <v>30</v>
      </c>
      <c r="C6" s="3">
        <v>70</v>
      </c>
      <c r="D6" s="2" t="str">
        <f t="shared" si="0"/>
        <v>Need Improvment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Task1</vt:lpstr>
      <vt:lpstr>Task 2</vt:lpstr>
      <vt:lpstr>Task 3</vt:lpstr>
      <vt:lpstr>Task 4</vt:lpstr>
      <vt:lpstr>Task6</vt:lpstr>
      <vt:lpstr>Task 5</vt:lpstr>
      <vt:lpstr>Task 7</vt:lpstr>
      <vt:lpstr>Task 8</vt:lpstr>
      <vt:lpstr>Task 9</vt:lpstr>
      <vt:lpstr>Task10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2026-01-29T10:15:02Z</dcterms:created>
  <dcterms:modified xsi:type="dcterms:W3CDTF">2026-01-29T11:06:35Z</dcterms:modified>
</cp:coreProperties>
</file>